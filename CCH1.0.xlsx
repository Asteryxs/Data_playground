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New folder\web\"/>
    </mc:Choice>
  </mc:AlternateContent>
  <xr:revisionPtr revIDLastSave="0" documentId="13_ncr:1_{DC833723-7AE1-4DE8-A4BB-D2E456B48A74}" xr6:coauthVersionLast="47" xr6:coauthVersionMax="47" xr10:uidLastSave="{00000000-0000-0000-0000-000000000000}"/>
  <bookViews>
    <workbookView xWindow="-120" yWindow="-120" windowWidth="29040" windowHeight="15720" xr2:uid="{4FB7ED2E-9585-4B0C-8315-A8433E84A804}"/>
  </bookViews>
  <sheets>
    <sheet name="Raw data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2" l="1"/>
  <c r="I42" i="2"/>
  <c r="H42" i="2"/>
  <c r="J41" i="2"/>
  <c r="I41" i="2"/>
  <c r="H41" i="2"/>
  <c r="G41" i="2"/>
  <c r="J40" i="2"/>
  <c r="I40" i="2"/>
  <c r="H40" i="2"/>
  <c r="G40" i="2"/>
  <c r="J39" i="2"/>
  <c r="I39" i="2"/>
  <c r="H39" i="2"/>
  <c r="G39" i="2"/>
  <c r="J38" i="2"/>
  <c r="I38" i="2"/>
  <c r="H38" i="2"/>
  <c r="G38" i="2"/>
  <c r="J37" i="2"/>
  <c r="I37" i="2"/>
  <c r="H37" i="2"/>
  <c r="J36" i="2"/>
  <c r="I36" i="2"/>
  <c r="H36" i="2"/>
  <c r="J35" i="2"/>
  <c r="I35" i="2"/>
  <c r="H35" i="2"/>
  <c r="G35" i="2"/>
  <c r="J34" i="2"/>
  <c r="I34" i="2"/>
  <c r="H34" i="2"/>
  <c r="G34" i="2"/>
  <c r="J33" i="2"/>
  <c r="I33" i="2"/>
  <c r="H33" i="2"/>
  <c r="J32" i="2"/>
  <c r="I32" i="2"/>
  <c r="H32" i="2"/>
  <c r="G32" i="2"/>
  <c r="J31" i="2"/>
  <c r="I31" i="2"/>
  <c r="H31" i="2"/>
  <c r="J30" i="2"/>
  <c r="I30" i="2"/>
  <c r="H30" i="2"/>
  <c r="G30" i="2"/>
  <c r="J29" i="2"/>
  <c r="I29" i="2"/>
  <c r="H29" i="2"/>
  <c r="G29" i="2"/>
  <c r="J28" i="2"/>
  <c r="I28" i="2"/>
  <c r="H28" i="2"/>
  <c r="G28" i="2"/>
  <c r="J27" i="2"/>
  <c r="I27" i="2"/>
  <c r="H27" i="2"/>
  <c r="G27" i="2"/>
  <c r="J26" i="2"/>
  <c r="I26" i="2"/>
  <c r="H26" i="2"/>
  <c r="G26" i="2"/>
  <c r="J25" i="2"/>
  <c r="I25" i="2"/>
  <c r="H25" i="2"/>
  <c r="J24" i="2"/>
  <c r="I24" i="2"/>
  <c r="H24" i="2"/>
  <c r="J23" i="2"/>
  <c r="I23" i="2"/>
  <c r="H23" i="2"/>
  <c r="J22" i="2"/>
  <c r="I22" i="2"/>
  <c r="H22" i="2"/>
  <c r="J21" i="2"/>
  <c r="I21" i="2"/>
  <c r="H21" i="2"/>
  <c r="J20" i="2"/>
  <c r="I20" i="2"/>
  <c r="H20" i="2"/>
  <c r="J19" i="2"/>
  <c r="I19" i="2"/>
  <c r="H19" i="2"/>
  <c r="J18" i="2"/>
  <c r="I18" i="2"/>
  <c r="H18" i="2"/>
  <c r="J17" i="2"/>
  <c r="I17" i="2"/>
  <c r="H17" i="2"/>
  <c r="J16" i="2"/>
  <c r="I16" i="2"/>
  <c r="H16" i="2"/>
  <c r="J15" i="2"/>
  <c r="I15" i="2"/>
  <c r="H15" i="2"/>
  <c r="J14" i="2"/>
  <c r="I14" i="2"/>
  <c r="H14" i="2"/>
  <c r="J13" i="2"/>
  <c r="I13" i="2"/>
  <c r="H13" i="2"/>
  <c r="J12" i="2"/>
  <c r="I12" i="2"/>
  <c r="H12" i="2"/>
  <c r="J11" i="2"/>
  <c r="I11" i="2"/>
  <c r="H11" i="2"/>
  <c r="J10" i="2"/>
  <c r="I10" i="2"/>
  <c r="H10" i="2"/>
  <c r="J9" i="2"/>
  <c r="I9" i="2"/>
  <c r="H9" i="2"/>
  <c r="J8" i="2"/>
  <c r="I8" i="2"/>
  <c r="H8" i="2"/>
  <c r="J7" i="2"/>
  <c r="I7" i="2"/>
  <c r="H7" i="2"/>
  <c r="J6" i="2"/>
  <c r="I6" i="2"/>
  <c r="H6" i="2"/>
  <c r="J5" i="2"/>
  <c r="I5" i="2"/>
  <c r="H5" i="2"/>
  <c r="J4" i="2"/>
  <c r="I4" i="2"/>
  <c r="H4" i="2"/>
  <c r="J3" i="2"/>
  <c r="I3" i="2"/>
  <c r="H3" i="2"/>
  <c r="J2" i="2"/>
  <c r="I2" i="2"/>
  <c r="H2" i="2"/>
</calcChain>
</file>

<file path=xl/sharedStrings.xml><?xml version="1.0" encoding="utf-8"?>
<sst xmlns="http://schemas.openxmlformats.org/spreadsheetml/2006/main" count="174" uniqueCount="74">
  <si>
    <t>Location</t>
  </si>
  <si>
    <t>Capacity</t>
  </si>
  <si>
    <t>Coventry</t>
  </si>
  <si>
    <t>Central Hall</t>
  </si>
  <si>
    <t>Upper hall</t>
  </si>
  <si>
    <t>Day</t>
  </si>
  <si>
    <t>Upper hall and balcony</t>
  </si>
  <si>
    <t>Lower hall</t>
  </si>
  <si>
    <t>Lower hall Front</t>
  </si>
  <si>
    <t>Lower hall Rear</t>
  </si>
  <si>
    <t>Eadon room</t>
  </si>
  <si>
    <t>Board room suite</t>
  </si>
  <si>
    <t>Board room</t>
  </si>
  <si>
    <t>breakroom</t>
  </si>
  <si>
    <t>Parson's suite</t>
  </si>
  <si>
    <t>Art and community hub</t>
  </si>
  <si>
    <t>Art and community hub and kitchen</t>
  </si>
  <si>
    <t>Mercia Venue</t>
  </si>
  <si>
    <t>Mercia room1</t>
  </si>
  <si>
    <t>Mercia room2</t>
  </si>
  <si>
    <t>Mercia room3</t>
  </si>
  <si>
    <t>Highlife Centre</t>
  </si>
  <si>
    <t>Highlife centre room1</t>
  </si>
  <si>
    <t>Highlife centre room2</t>
  </si>
  <si>
    <t>Night</t>
  </si>
  <si>
    <t>Allesley Village Hall</t>
  </si>
  <si>
    <t>Allesley room1</t>
  </si>
  <si>
    <t>Christ the King</t>
  </si>
  <si>
    <t>Christ the king room1</t>
  </si>
  <si>
    <t>Christ the king room2</t>
  </si>
  <si>
    <t>The Welcome Center</t>
  </si>
  <si>
    <t>Elegance</t>
  </si>
  <si>
    <t>Teas and Coffee (4.20)</t>
  </si>
  <si>
    <t>Large</t>
  </si>
  <si>
    <t>Bronze Lunch ( 8.95)</t>
  </si>
  <si>
    <t>Insipre room-</t>
  </si>
  <si>
    <t>Serenity</t>
  </si>
  <si>
    <t>Amy</t>
  </si>
  <si>
    <t>Coventry Cathedral</t>
  </si>
  <si>
    <t>BUTTERWORTH
HALL</t>
  </si>
  <si>
    <t>Tin Music &amp; Arts</t>
  </si>
  <si>
    <t>community space</t>
  </si>
  <si>
    <t>Warwick</t>
  </si>
  <si>
    <t>RBL club</t>
  </si>
  <si>
    <t>RBL hall</t>
  </si>
  <si>
    <t>Price</t>
  </si>
  <si>
    <t>Room 1</t>
  </si>
  <si>
    <t>Saintsuzzy studio</t>
  </si>
  <si>
    <t xml:space="preserve">Creativee </t>
  </si>
  <si>
    <t xml:space="preserve">Coventry </t>
  </si>
  <si>
    <t>Heart of England</t>
  </si>
  <si>
    <t>Birchley suite</t>
  </si>
  <si>
    <t>Catch 22</t>
  </si>
  <si>
    <t>Night club</t>
  </si>
  <si>
    <t>Chestnut</t>
  </si>
  <si>
    <t>Confrence</t>
  </si>
  <si>
    <t>Sky blue tavern</t>
  </si>
  <si>
    <t>Tavern</t>
  </si>
  <si>
    <t xml:space="preserve">Albany theater </t>
  </si>
  <si>
    <t>Drama studio</t>
  </si>
  <si>
    <t>HMV Empre</t>
  </si>
  <si>
    <t>main stage half</t>
  </si>
  <si>
    <t xml:space="preserve">main stage </t>
  </si>
  <si>
    <t xml:space="preserve">Stage 2 </t>
  </si>
  <si>
    <t>Balcony bar</t>
  </si>
  <si>
    <t>Player main room</t>
  </si>
  <si>
    <t>main room</t>
  </si>
  <si>
    <t>Organisation_Name</t>
  </si>
  <si>
    <t>Names_of_Room</t>
  </si>
  <si>
    <t>Time_of_day</t>
  </si>
  <si>
    <t>Minimum_Duration_per_hour</t>
  </si>
  <si>
    <t>Price_per_hour</t>
  </si>
  <si>
    <t>Cost_per_person</t>
  </si>
  <si>
    <t>Capacity_tier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</si>
</sst>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blo\Downloads\CCH%201%20(version%201).xlsb.xlsx" TargetMode="External"/><Relationship Id="rId1" Type="http://schemas.openxmlformats.org/officeDocument/2006/relationships/externalLinkPath" Target="/Users/pablo/Downloads/CCH%201%20(version%201).xl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Cleaned "/>
      <sheetName val="Pivot "/>
      <sheetName val="Dashboard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B2A9C-2078-4CEA-89BC-C4EA7B6DCA3D}">
  <dimension ref="A1:AA992"/>
  <sheetViews>
    <sheetView tabSelected="1" workbookViewId="0">
      <pane ySplit="1" topLeftCell="A2" activePane="bottomLeft" state="frozen"/>
      <selection pane="bottomLeft" activeCell="J1" sqref="J1"/>
    </sheetView>
  </sheetViews>
  <sheetFormatPr defaultRowHeight="15" x14ac:dyDescent="0.25"/>
  <cols>
    <col min="1" max="1" width="16.28515625" customWidth="1"/>
    <col min="2" max="2" width="30.28515625" bestFit="1" customWidth="1"/>
    <col min="3" max="3" width="27.7109375" bestFit="1" customWidth="1"/>
    <col min="4" max="4" width="9.28515625" bestFit="1" customWidth="1"/>
    <col min="5" max="5" width="20.85546875" customWidth="1"/>
    <col min="6" max="6" width="38.85546875" customWidth="1"/>
    <col min="7" max="7" width="28.85546875" customWidth="1"/>
    <col min="8" max="8" width="26.42578125" customWidth="1"/>
    <col min="9" max="9" width="16" customWidth="1"/>
    <col min="10" max="10" width="36.7109375" customWidth="1"/>
  </cols>
  <sheetData>
    <row r="1" spans="1:27" ht="27" thickBot="1" x14ac:dyDescent="0.3">
      <c r="A1" s="8" t="s">
        <v>0</v>
      </c>
      <c r="B1" s="8" t="s">
        <v>67</v>
      </c>
      <c r="C1" s="8" t="s">
        <v>68</v>
      </c>
      <c r="D1" s="8" t="s">
        <v>1</v>
      </c>
      <c r="E1" s="8" t="s">
        <v>69</v>
      </c>
      <c r="F1" s="8" t="s">
        <v>70</v>
      </c>
      <c r="G1" s="8" t="s">
        <v>71</v>
      </c>
      <c r="H1" s="9" t="s">
        <v>45</v>
      </c>
      <c r="I1" s="9" t="s">
        <v>72</v>
      </c>
      <c r="J1" s="9" t="s">
        <v>73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.5" thickBot="1" x14ac:dyDescent="0.3">
      <c r="A2" s="10" t="s">
        <v>2</v>
      </c>
      <c r="B2" s="10" t="s">
        <v>3</v>
      </c>
      <c r="C2" s="10" t="s">
        <v>4</v>
      </c>
      <c r="D2" s="10">
        <v>300</v>
      </c>
      <c r="E2" s="10" t="s">
        <v>5</v>
      </c>
      <c r="F2" s="10">
        <v>1</v>
      </c>
      <c r="G2" s="10">
        <v>75</v>
      </c>
      <c r="H2" s="11">
        <f>[1]!Table1[[#This Row],[Minimum Duration per hour]]*[1]!Table1[[#This Row],[Price per hour]]</f>
        <v>75</v>
      </c>
      <c r="I2" s="11">
        <f>[1]!Table1[[#This Row],[Price]]/[1]!Table1[[#This Row],[Capacity]]</f>
        <v>0.25</v>
      </c>
      <c r="J2" s="11" t="str">
        <f>IF([1]!Table1[[#This Row],[Capacity]]&lt;=50, "small", IF([1]!Table1[[#This Row],[Capacity]]&lt;=250,"medium", "Large"))</f>
        <v>Large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.5" thickBot="1" x14ac:dyDescent="0.3">
      <c r="A3" s="6" t="s">
        <v>2</v>
      </c>
      <c r="B3" s="6" t="s">
        <v>3</v>
      </c>
      <c r="C3" s="6" t="s">
        <v>6</v>
      </c>
      <c r="D3" s="6">
        <v>800</v>
      </c>
      <c r="E3" s="6" t="s">
        <v>5</v>
      </c>
      <c r="F3" s="6">
        <v>1</v>
      </c>
      <c r="G3" s="6">
        <v>115</v>
      </c>
      <c r="H3" s="7">
        <f>[1]!Table1[[#This Row],[Minimum Duration per hour]]*[1]!Table1[[#This Row],[Price per hour]]</f>
        <v>115</v>
      </c>
      <c r="I3" s="7">
        <f>[1]!Table1[[#This Row],[Price]]/[1]!Table1[[#This Row],[Capacity]]</f>
        <v>0.14374999999999999</v>
      </c>
      <c r="J3" s="7" t="str">
        <f>IF([1]!Table1[[#This Row],[Capacity]]&lt;=50, "small", IF([1]!Table1[[#This Row],[Capacity]]&lt;=250,"medium", "Large"))</f>
        <v>Large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5" thickBot="1" x14ac:dyDescent="0.3">
      <c r="A4" s="10" t="s">
        <v>2</v>
      </c>
      <c r="B4" s="10" t="s">
        <v>3</v>
      </c>
      <c r="C4" s="10" t="s">
        <v>7</v>
      </c>
      <c r="D4" s="10">
        <v>200</v>
      </c>
      <c r="E4" s="10" t="s">
        <v>5</v>
      </c>
      <c r="F4" s="10">
        <v>1</v>
      </c>
      <c r="G4" s="10">
        <v>65</v>
      </c>
      <c r="H4" s="11">
        <f>[1]!Table1[[#This Row],[Minimum Duration per hour]]*[1]!Table1[[#This Row],[Price per hour]]</f>
        <v>65</v>
      </c>
      <c r="I4" s="11">
        <f>[1]!Table1[[#This Row],[Price]]/[1]!Table1[[#This Row],[Capacity]]</f>
        <v>0.32500000000000001</v>
      </c>
      <c r="J4" s="11" t="str">
        <f>IF([1]!Table1[[#This Row],[Capacity]]&lt;=50, "small", IF([1]!Table1[[#This Row],[Capacity]]&lt;=250,"medium", "Large"))</f>
        <v>medium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.5" thickBot="1" x14ac:dyDescent="0.3">
      <c r="A5" s="6" t="s">
        <v>2</v>
      </c>
      <c r="B5" s="6" t="s">
        <v>3</v>
      </c>
      <c r="C5" s="6" t="s">
        <v>8</v>
      </c>
      <c r="D5" s="6">
        <v>100</v>
      </c>
      <c r="E5" s="6" t="s">
        <v>5</v>
      </c>
      <c r="F5" s="6">
        <v>1</v>
      </c>
      <c r="G5" s="6">
        <v>42</v>
      </c>
      <c r="H5" s="7">
        <f>[1]!Table1[[#This Row],[Minimum Duration per hour]]*[1]!Table1[[#This Row],[Price per hour]]</f>
        <v>42</v>
      </c>
      <c r="I5" s="7">
        <f>[1]!Table1[[#This Row],[Price]]/[1]!Table1[[#This Row],[Capacity]]</f>
        <v>0.42</v>
      </c>
      <c r="J5" s="7" t="str">
        <f>IF([1]!Table1[[#This Row],[Capacity]]&lt;=50, "small", IF([1]!Table1[[#This Row],[Capacity]]&lt;=250,"medium", "Large"))</f>
        <v>medium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 thickBot="1" x14ac:dyDescent="0.3">
      <c r="A6" s="10" t="s">
        <v>2</v>
      </c>
      <c r="B6" s="10" t="s">
        <v>3</v>
      </c>
      <c r="C6" s="10" t="s">
        <v>9</v>
      </c>
      <c r="D6" s="10">
        <v>100</v>
      </c>
      <c r="E6" s="10" t="s">
        <v>5</v>
      </c>
      <c r="F6" s="10">
        <v>1</v>
      </c>
      <c r="G6" s="10">
        <v>42</v>
      </c>
      <c r="H6" s="11">
        <f>[1]!Table1[[#This Row],[Minimum Duration per hour]]*[1]!Table1[[#This Row],[Price per hour]]</f>
        <v>42</v>
      </c>
      <c r="I6" s="11">
        <f>[1]!Table1[[#This Row],[Price]]/[1]!Table1[[#This Row],[Capacity]]</f>
        <v>0.42</v>
      </c>
      <c r="J6" s="11" t="str">
        <f>IF([1]!Table1[[#This Row],[Capacity]]&lt;=50, "small", IF([1]!Table1[[#This Row],[Capacity]]&lt;=250,"medium", "Large"))</f>
        <v>medium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5" thickBot="1" x14ac:dyDescent="0.3">
      <c r="A7" s="6" t="s">
        <v>2</v>
      </c>
      <c r="B7" s="6" t="s">
        <v>3</v>
      </c>
      <c r="C7" s="6" t="s">
        <v>10</v>
      </c>
      <c r="D7" s="6">
        <v>50</v>
      </c>
      <c r="E7" s="6" t="s">
        <v>5</v>
      </c>
      <c r="F7" s="6">
        <v>1</v>
      </c>
      <c r="G7" s="6">
        <v>42</v>
      </c>
      <c r="H7" s="7">
        <f>[1]!Table1[[#This Row],[Minimum Duration per hour]]*[1]!Table1[[#This Row],[Price per hour]]</f>
        <v>42</v>
      </c>
      <c r="I7" s="7">
        <f>[1]!Table1[[#This Row],[Price]]/[1]!Table1[[#This Row],[Capacity]]</f>
        <v>0.84</v>
      </c>
      <c r="J7" s="7" t="str">
        <f>IF([1]!Table1[[#This Row],[Capacity]]&lt;=50, "small", IF([1]!Table1[[#This Row],[Capacity]]&lt;=250,"medium", "Large"))</f>
        <v>small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.5" thickBot="1" x14ac:dyDescent="0.3">
      <c r="A8" s="10" t="s">
        <v>2</v>
      </c>
      <c r="B8" s="10" t="s">
        <v>3</v>
      </c>
      <c r="C8" s="10" t="s">
        <v>11</v>
      </c>
      <c r="D8" s="11">
        <v>25</v>
      </c>
      <c r="E8" s="10" t="s">
        <v>5</v>
      </c>
      <c r="F8" s="10">
        <v>1</v>
      </c>
      <c r="G8" s="10">
        <v>55</v>
      </c>
      <c r="H8" s="11">
        <f>[1]!Table1[[#This Row],[Minimum Duration per hour]]*[1]!Table1[[#This Row],[Price per hour]]</f>
        <v>55</v>
      </c>
      <c r="I8" s="11">
        <f>[1]!Table1[[#This Row],[Price]]/[1]!Table1[[#This Row],[Capacity]]</f>
        <v>2.2000000000000002</v>
      </c>
      <c r="J8" s="11" t="str">
        <f>IF([1]!Table1[[#This Row],[Capacity]]&lt;=50, "small", IF([1]!Table1[[#This Row],[Capacity]]&lt;=250,"medium", "Large"))</f>
        <v>small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thickBot="1" x14ac:dyDescent="0.3">
      <c r="A9" s="6" t="s">
        <v>2</v>
      </c>
      <c r="B9" s="6" t="s">
        <v>3</v>
      </c>
      <c r="C9" s="6" t="s">
        <v>12</v>
      </c>
      <c r="D9" s="7">
        <v>25</v>
      </c>
      <c r="E9" s="6" t="s">
        <v>5</v>
      </c>
      <c r="F9" s="6">
        <v>1</v>
      </c>
      <c r="G9" s="6">
        <v>36</v>
      </c>
      <c r="H9" s="7">
        <f>[1]!Table1[[#This Row],[Minimum Duration per hour]]*[1]!Table1[[#This Row],[Price per hour]]</f>
        <v>36</v>
      </c>
      <c r="I9" s="7">
        <f>[1]!Table1[[#This Row],[Price]]/[1]!Table1[[#This Row],[Capacity]]</f>
        <v>1.44</v>
      </c>
      <c r="J9" s="7" t="str">
        <f>IF([1]!Table1[[#This Row],[Capacity]]&lt;=50, "small", IF([1]!Table1[[#This Row],[Capacity]]&lt;=250,"medium", "Large"))</f>
        <v>small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.5" thickBot="1" x14ac:dyDescent="0.3">
      <c r="A10" s="10" t="s">
        <v>2</v>
      </c>
      <c r="B10" s="10" t="s">
        <v>3</v>
      </c>
      <c r="C10" s="10" t="s">
        <v>13</v>
      </c>
      <c r="D10" s="11">
        <v>10</v>
      </c>
      <c r="E10" s="10" t="s">
        <v>5</v>
      </c>
      <c r="F10" s="10">
        <v>1</v>
      </c>
      <c r="G10" s="10">
        <v>24</v>
      </c>
      <c r="H10" s="11">
        <f>[1]!Table1[[#This Row],[Minimum Duration per hour]]*[1]!Table1[[#This Row],[Price per hour]]</f>
        <v>24</v>
      </c>
      <c r="I10" s="11">
        <f>[1]!Table1[[#This Row],[Price]]/[1]!Table1[[#This Row],[Capacity]]</f>
        <v>2.4</v>
      </c>
      <c r="J10" s="11" t="str">
        <f>IF([1]!Table1[[#This Row],[Capacity]]&lt;=50, "small", IF([1]!Table1[[#This Row],[Capacity]]&lt;=250,"medium", "Large"))</f>
        <v>small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.5" thickBot="1" x14ac:dyDescent="0.3">
      <c r="A11" s="6" t="s">
        <v>2</v>
      </c>
      <c r="B11" s="6" t="s">
        <v>3</v>
      </c>
      <c r="C11" s="6" t="s">
        <v>14</v>
      </c>
      <c r="D11" s="7">
        <v>20</v>
      </c>
      <c r="E11" s="6" t="s">
        <v>5</v>
      </c>
      <c r="F11" s="6">
        <v>1</v>
      </c>
      <c r="G11" s="6">
        <v>32</v>
      </c>
      <c r="H11" s="7">
        <f>[1]!Table1[[#This Row],[Minimum Duration per hour]]*[1]!Table1[[#This Row],[Price per hour]]</f>
        <v>32</v>
      </c>
      <c r="I11" s="7">
        <f>[1]!Table1[[#This Row],[Price]]/[1]!Table1[[#This Row],[Capacity]]</f>
        <v>1.6</v>
      </c>
      <c r="J11" s="7" t="str">
        <f>IF([1]!Table1[[#This Row],[Capacity]]&lt;=50, "small", IF([1]!Table1[[#This Row],[Capacity]]&lt;=250,"medium", "Large"))</f>
        <v>small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.5" thickBot="1" x14ac:dyDescent="0.3">
      <c r="A12" s="10" t="s">
        <v>2</v>
      </c>
      <c r="B12" s="10" t="s">
        <v>3</v>
      </c>
      <c r="C12" s="10" t="s">
        <v>15</v>
      </c>
      <c r="D12" s="11">
        <v>30</v>
      </c>
      <c r="E12" s="10" t="s">
        <v>5</v>
      </c>
      <c r="F12" s="10">
        <v>1</v>
      </c>
      <c r="G12" s="10">
        <v>28</v>
      </c>
      <c r="H12" s="11">
        <f>[1]!Table1[[#This Row],[Minimum Duration per hour]]*[1]!Table1[[#This Row],[Price per hour]]</f>
        <v>28</v>
      </c>
      <c r="I12" s="11">
        <f>[1]!Table1[[#This Row],[Price]]/[1]!Table1[[#This Row],[Capacity]]</f>
        <v>0.93333333333333335</v>
      </c>
      <c r="J12" s="11" t="str">
        <f>IF([1]!Table1[[#This Row],[Capacity]]&lt;=50, "small", IF([1]!Table1[[#This Row],[Capacity]]&lt;=250,"medium", "Large"))</f>
        <v>small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32.25" thickBot="1" x14ac:dyDescent="0.3">
      <c r="A13" s="6" t="s">
        <v>2</v>
      </c>
      <c r="B13" s="6" t="s">
        <v>3</v>
      </c>
      <c r="C13" s="6" t="s">
        <v>16</v>
      </c>
      <c r="D13" s="7">
        <v>30</v>
      </c>
      <c r="E13" s="6" t="s">
        <v>5</v>
      </c>
      <c r="F13" s="6">
        <v>1</v>
      </c>
      <c r="G13" s="6">
        <v>50</v>
      </c>
      <c r="H13" s="7">
        <f>[1]!Table1[[#This Row],[Minimum Duration per hour]]*[1]!Table1[[#This Row],[Price per hour]]</f>
        <v>50</v>
      </c>
      <c r="I13" s="7">
        <f>[1]!Table1[[#This Row],[Price]]/[1]!Table1[[#This Row],[Capacity]]</f>
        <v>1.6666666666666667</v>
      </c>
      <c r="J13" s="7" t="str">
        <f>IF([1]!Table1[[#This Row],[Capacity]]&lt;=50, "small", IF([1]!Table1[[#This Row],[Capacity]]&lt;=250,"medium", "Large"))</f>
        <v>small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.5" thickBot="1" x14ac:dyDescent="0.3">
      <c r="A14" s="10" t="s">
        <v>2</v>
      </c>
      <c r="B14" s="10" t="s">
        <v>17</v>
      </c>
      <c r="C14" s="10" t="s">
        <v>18</v>
      </c>
      <c r="D14" s="10">
        <v>90</v>
      </c>
      <c r="E14" s="10" t="s">
        <v>5</v>
      </c>
      <c r="F14" s="10">
        <v>6</v>
      </c>
      <c r="G14" s="10">
        <v>91.666666669999998</v>
      </c>
      <c r="H14" s="11">
        <f>[1]!Table1[[#This Row],[Minimum Duration per hour]]*[1]!Table1[[#This Row],[Price per hour]]</f>
        <v>550.00000002000002</v>
      </c>
      <c r="I14" s="11">
        <f>[1]!Table1[[#This Row],[Price]]/[1]!Table1[[#This Row],[Capacity]]</f>
        <v>6.1111111113333338</v>
      </c>
      <c r="J14" s="11" t="str">
        <f>IF([1]!Table1[[#This Row],[Capacity]]&lt;=50, "small", IF([1]!Table1[[#This Row],[Capacity]]&lt;=250,"medium", "Large"))</f>
        <v>medium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.5" thickBot="1" x14ac:dyDescent="0.3">
      <c r="A15" s="6" t="s">
        <v>2</v>
      </c>
      <c r="B15" s="6" t="s">
        <v>17</v>
      </c>
      <c r="C15" s="6" t="s">
        <v>19</v>
      </c>
      <c r="D15" s="6">
        <v>150</v>
      </c>
      <c r="E15" s="6" t="s">
        <v>5</v>
      </c>
      <c r="F15" s="6">
        <v>6</v>
      </c>
      <c r="G15" s="6">
        <v>133.33333329999999</v>
      </c>
      <c r="H15" s="7">
        <f>[1]!Table1[[#This Row],[Minimum Duration per hour]]*[1]!Table1[[#This Row],[Price per hour]]</f>
        <v>799.99999979999996</v>
      </c>
      <c r="I15" s="7">
        <f>[1]!Table1[[#This Row],[Price]]/[1]!Table1[[#This Row],[Capacity]]</f>
        <v>5.3333333319999996</v>
      </c>
      <c r="J15" s="7" t="str">
        <f>IF([1]!Table1[[#This Row],[Capacity]]&lt;=50, "small", IF([1]!Table1[[#This Row],[Capacity]]&lt;=250,"medium", "Large"))</f>
        <v>medium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.5" thickBot="1" x14ac:dyDescent="0.3">
      <c r="A16" s="10" t="s">
        <v>2</v>
      </c>
      <c r="B16" s="10" t="s">
        <v>17</v>
      </c>
      <c r="C16" s="10" t="s">
        <v>20</v>
      </c>
      <c r="D16" s="10">
        <v>650</v>
      </c>
      <c r="E16" s="10" t="s">
        <v>5</v>
      </c>
      <c r="F16" s="10">
        <v>6</v>
      </c>
      <c r="G16" s="10">
        <v>500</v>
      </c>
      <c r="H16" s="11">
        <f>[1]!Table1[[#This Row],[Minimum Duration per hour]]*[1]!Table1[[#This Row],[Price per hour]]</f>
        <v>3000</v>
      </c>
      <c r="I16" s="11">
        <f>[1]!Table1[[#This Row],[Price]]/[1]!Table1[[#This Row],[Capacity]]</f>
        <v>4.615384615384615</v>
      </c>
      <c r="J16" s="11" t="str">
        <f>IF([1]!Table1[[#This Row],[Capacity]]&lt;=50, "small", IF([1]!Table1[[#This Row],[Capacity]]&lt;=250,"medium", "Large"))</f>
        <v>Large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.5" thickBot="1" x14ac:dyDescent="0.3">
      <c r="A17" s="6" t="s">
        <v>2</v>
      </c>
      <c r="B17" s="6" t="s">
        <v>21</v>
      </c>
      <c r="C17" s="6" t="s">
        <v>22</v>
      </c>
      <c r="D17" s="6">
        <v>80</v>
      </c>
      <c r="E17" s="6" t="s">
        <v>5</v>
      </c>
      <c r="F17" s="6">
        <v>1</v>
      </c>
      <c r="G17" s="6">
        <v>35</v>
      </c>
      <c r="H17" s="7">
        <f>[1]!Table1[[#This Row],[Minimum Duration per hour]]*[1]!Table1[[#This Row],[Price per hour]]</f>
        <v>35</v>
      </c>
      <c r="I17" s="7">
        <f>[1]!Table1[[#This Row],[Price]]/[1]!Table1[[#This Row],[Capacity]]</f>
        <v>0.4375</v>
      </c>
      <c r="J17" s="7" t="str">
        <f>IF([1]!Table1[[#This Row],[Capacity]]&lt;=50, "small", IF([1]!Table1[[#This Row],[Capacity]]&lt;=250,"medium", "Large"))</f>
        <v>medium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.5" thickBot="1" x14ac:dyDescent="0.3">
      <c r="A18" s="10" t="s">
        <v>2</v>
      </c>
      <c r="B18" s="10" t="s">
        <v>21</v>
      </c>
      <c r="C18" s="10" t="s">
        <v>23</v>
      </c>
      <c r="D18" s="11">
        <v>80</v>
      </c>
      <c r="E18" s="11" t="s">
        <v>24</v>
      </c>
      <c r="F18" s="11">
        <v>1</v>
      </c>
      <c r="G18" s="11">
        <v>55</v>
      </c>
      <c r="H18" s="11">
        <f>[1]!Table1[[#This Row],[Minimum Duration per hour]]*[1]!Table1[[#This Row],[Price per hour]]</f>
        <v>55</v>
      </c>
      <c r="I18" s="11">
        <f>[1]!Table1[[#This Row],[Price]]/[1]!Table1[[#This Row],[Capacity]]</f>
        <v>0.6875</v>
      </c>
      <c r="J18" s="11" t="str">
        <f>IF([1]!Table1[[#This Row],[Capacity]]&lt;=50, "small", IF([1]!Table1[[#This Row],[Capacity]]&lt;=250,"medium", "Large"))</f>
        <v>medium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6.5" thickBot="1" x14ac:dyDescent="0.3">
      <c r="A19" s="6" t="s">
        <v>2</v>
      </c>
      <c r="B19" s="6" t="s">
        <v>25</v>
      </c>
      <c r="C19" s="6" t="s">
        <v>26</v>
      </c>
      <c r="D19" s="6">
        <v>55</v>
      </c>
      <c r="E19" s="6" t="s">
        <v>5</v>
      </c>
      <c r="F19" s="6">
        <v>1</v>
      </c>
      <c r="G19" s="6">
        <v>12</v>
      </c>
      <c r="H19" s="7">
        <f>[1]!Table1[[#This Row],[Minimum Duration per hour]]*[1]!Table1[[#This Row],[Price per hour]]</f>
        <v>12</v>
      </c>
      <c r="I19" s="7">
        <f>[1]!Table1[[#This Row],[Price]]/[1]!Table1[[#This Row],[Capacity]]</f>
        <v>0.21818181818181817</v>
      </c>
      <c r="J19" s="7" t="str">
        <f>IF([1]!Table1[[#This Row],[Capacity]]&lt;=50, "small", IF([1]!Table1[[#This Row],[Capacity]]&lt;=250,"medium", "Large"))</f>
        <v>medium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.5" thickBot="1" x14ac:dyDescent="0.3">
      <c r="A20" s="10" t="s">
        <v>2</v>
      </c>
      <c r="B20" s="10" t="s">
        <v>27</v>
      </c>
      <c r="C20" s="10" t="s">
        <v>28</v>
      </c>
      <c r="D20" s="10">
        <v>120</v>
      </c>
      <c r="E20" s="10" t="s">
        <v>24</v>
      </c>
      <c r="F20" s="10">
        <v>3</v>
      </c>
      <c r="G20" s="10">
        <v>200</v>
      </c>
      <c r="H20" s="11">
        <f>[1]!Table1[[#This Row],[Minimum Duration per hour]]*[1]!Table1[[#This Row],[Price per hour]]</f>
        <v>600</v>
      </c>
      <c r="I20" s="11">
        <f>[1]!Table1[[#This Row],[Price]]/[1]!Table1[[#This Row],[Capacity]]</f>
        <v>5</v>
      </c>
      <c r="J20" s="11" t="str">
        <f>IF([1]!Table1[[#This Row],[Capacity]]&lt;=50, "small", IF([1]!Table1[[#This Row],[Capacity]]&lt;=250,"medium", "Large"))</f>
        <v>medium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6.5" thickBot="1" x14ac:dyDescent="0.3">
      <c r="A21" s="6" t="s">
        <v>2</v>
      </c>
      <c r="B21" s="6" t="s">
        <v>27</v>
      </c>
      <c r="C21" s="6" t="s">
        <v>29</v>
      </c>
      <c r="D21" s="6">
        <v>220</v>
      </c>
      <c r="E21" s="6" t="s">
        <v>24</v>
      </c>
      <c r="F21" s="6">
        <v>3</v>
      </c>
      <c r="G21" s="6">
        <v>250</v>
      </c>
      <c r="H21" s="7">
        <f>[1]!Table1[[#This Row],[Minimum Duration per hour]]*[1]!Table1[[#This Row],[Price per hour]]</f>
        <v>750</v>
      </c>
      <c r="I21" s="7">
        <f>[1]!Table1[[#This Row],[Price]]/[1]!Table1[[#This Row],[Capacity]]</f>
        <v>3.4090909090909092</v>
      </c>
      <c r="J21" s="7" t="str">
        <f>IF([1]!Table1[[#This Row],[Capacity]]&lt;=50, "small", IF([1]!Table1[[#This Row],[Capacity]]&lt;=250,"medium", "Large"))</f>
        <v>medium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thickBot="1" x14ac:dyDescent="0.3">
      <c r="A22" s="11" t="s">
        <v>42</v>
      </c>
      <c r="B22" s="11" t="s">
        <v>43</v>
      </c>
      <c r="C22" s="11" t="s">
        <v>44</v>
      </c>
      <c r="D22" s="11">
        <v>60</v>
      </c>
      <c r="E22" s="11" t="s">
        <v>24</v>
      </c>
      <c r="F22" s="11">
        <v>1</v>
      </c>
      <c r="G22" s="11">
        <v>15</v>
      </c>
      <c r="H22" s="11">
        <f>[1]!Table1[[#This Row],[Minimum Duration per hour]]*[1]!Table1[[#This Row],[Price per hour]]</f>
        <v>15</v>
      </c>
      <c r="I22" s="11">
        <f>[1]!Table1[[#This Row],[Price]]/[1]!Table1[[#This Row],[Capacity]]</f>
        <v>0.25</v>
      </c>
      <c r="J22" s="11" t="str">
        <f>IF([1]!Table1[[#This Row],[Capacity]]&lt;=50, "small", IF([1]!Table1[[#This Row],[Capacity]]&lt;=250,"medium", "Large"))</f>
        <v>medium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thickBot="1" x14ac:dyDescent="0.3">
      <c r="A23" s="12" t="s">
        <v>2</v>
      </c>
      <c r="B23" s="7" t="s">
        <v>40</v>
      </c>
      <c r="C23" s="7" t="s">
        <v>46</v>
      </c>
      <c r="D23" s="7">
        <v>150</v>
      </c>
      <c r="E23" s="7" t="s">
        <v>5</v>
      </c>
      <c r="F23" s="7">
        <v>1</v>
      </c>
      <c r="G23" s="7">
        <v>100</v>
      </c>
      <c r="H23" s="7">
        <f>[1]!Table1[[#This Row],[Minimum Duration per hour]]*[1]!Table1[[#This Row],[Price per hour]]</f>
        <v>100</v>
      </c>
      <c r="I23" s="7">
        <f>[1]!Table1[[#This Row],[Price]]/[1]!Table1[[#This Row],[Capacity]]</f>
        <v>0.66666666666666663</v>
      </c>
      <c r="J23" s="7" t="str">
        <f>IF([1]!Table1[[#This Row],[Capacity]]&lt;=50, "small", IF([1]!Table1[[#This Row],[Capacity]]&lt;=250,"medium", "Large"))</f>
        <v>medium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.5" thickBot="1" x14ac:dyDescent="0.3">
      <c r="A24" s="10" t="s">
        <v>2</v>
      </c>
      <c r="B24" s="11" t="s">
        <v>40</v>
      </c>
      <c r="C24" s="11" t="s">
        <v>41</v>
      </c>
      <c r="D24" s="11">
        <v>40</v>
      </c>
      <c r="E24" s="11" t="s">
        <v>5</v>
      </c>
      <c r="F24" s="11">
        <v>1</v>
      </c>
      <c r="G24" s="11">
        <v>25</v>
      </c>
      <c r="H24" s="11">
        <f>[1]!Table1[[#This Row],[Minimum Duration per hour]]*[1]!Table1[[#This Row],[Price per hour]]</f>
        <v>25</v>
      </c>
      <c r="I24" s="11">
        <f>[1]!Table1[[#This Row],[Price]]/[1]!Table1[[#This Row],[Capacity]]</f>
        <v>0.625</v>
      </c>
      <c r="J24" s="11" t="str">
        <f>IF([1]!Table1[[#This Row],[Capacity]]&lt;=50, "small", IF([1]!Table1[[#This Row],[Capacity]]&lt;=250,"medium", "Large"))</f>
        <v>small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.5" thickBot="1" x14ac:dyDescent="0.3">
      <c r="A25" s="6" t="s">
        <v>2</v>
      </c>
      <c r="B25" s="6" t="s">
        <v>30</v>
      </c>
      <c r="C25" s="6" t="s">
        <v>31</v>
      </c>
      <c r="D25" s="6">
        <v>30</v>
      </c>
      <c r="E25" s="7" t="s">
        <v>5</v>
      </c>
      <c r="F25" s="7">
        <v>6</v>
      </c>
      <c r="G25" s="6">
        <v>450</v>
      </c>
      <c r="H25" s="7">
        <f>[1]!Table1[[#This Row],[Minimum Duration per hour]]*[1]!Table1[[#This Row],[Price per hour]]</f>
        <v>2700</v>
      </c>
      <c r="I25" s="7">
        <f>[1]!Table1[[#This Row],[Price]]/[1]!Table1[[#This Row],[Capacity]]</f>
        <v>90</v>
      </c>
      <c r="J25" s="7" t="str">
        <f>IF([1]!Table1[[#This Row],[Capacity]]&lt;=50, "small", IF([1]!Table1[[#This Row],[Capacity]]&lt;=250,"medium", "Large"))</f>
        <v>small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6.5" thickBot="1" x14ac:dyDescent="0.3">
      <c r="A26" s="10" t="s">
        <v>2</v>
      </c>
      <c r="B26" s="10" t="s">
        <v>32</v>
      </c>
      <c r="C26" s="10" t="s">
        <v>33</v>
      </c>
      <c r="D26" s="10">
        <v>200</v>
      </c>
      <c r="E26" s="11" t="s">
        <v>5</v>
      </c>
      <c r="F26" s="11">
        <v>6</v>
      </c>
      <c r="G26" s="13">
        <f>3240/6</f>
        <v>540</v>
      </c>
      <c r="H26" s="11">
        <f>[1]!Table1[[#This Row],[Minimum Duration per hour]]*[1]!Table1[[#This Row],[Price per hour]]</f>
        <v>3240</v>
      </c>
      <c r="I26" s="11">
        <f>[1]!Table1[[#This Row],[Price]]/[1]!Table1[[#This Row],[Capacity]]</f>
        <v>16.2</v>
      </c>
      <c r="J26" s="11" t="str">
        <f>IF([1]!Table1[[#This Row],[Capacity]]&lt;=50, "small", IF([1]!Table1[[#This Row],[Capacity]]&lt;=250,"medium", "Large"))</f>
        <v>medium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6.5" thickBot="1" x14ac:dyDescent="0.3">
      <c r="A27" s="6" t="s">
        <v>2</v>
      </c>
      <c r="B27" s="6" t="s">
        <v>34</v>
      </c>
      <c r="C27" s="6" t="s">
        <v>35</v>
      </c>
      <c r="D27" s="6">
        <v>100</v>
      </c>
      <c r="E27" s="7" t="s">
        <v>5</v>
      </c>
      <c r="F27" s="7">
        <v>6</v>
      </c>
      <c r="G27" s="6">
        <f>883/6</f>
        <v>147.16666666666666</v>
      </c>
      <c r="H27" s="7">
        <f>[1]!Table1[[#This Row],[Minimum Duration per hour]]*[1]!Table1[[#This Row],[Price per hour]]</f>
        <v>883</v>
      </c>
      <c r="I27" s="7">
        <f>[1]!Table1[[#This Row],[Price]]/[1]!Table1[[#This Row],[Capacity]]</f>
        <v>8.83</v>
      </c>
      <c r="J27" s="7" t="str">
        <f>IF([1]!Table1[[#This Row],[Capacity]]&lt;=50, "small", IF([1]!Table1[[#This Row],[Capacity]]&lt;=250,"medium", "Large"))</f>
        <v>medium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.5" thickBot="1" x14ac:dyDescent="0.3">
      <c r="A28" s="10" t="s">
        <v>2</v>
      </c>
      <c r="B28" s="10" t="s">
        <v>34</v>
      </c>
      <c r="C28" s="10" t="s">
        <v>36</v>
      </c>
      <c r="D28" s="10">
        <v>25</v>
      </c>
      <c r="E28" s="11" t="s">
        <v>5</v>
      </c>
      <c r="F28" s="11">
        <v>6</v>
      </c>
      <c r="G28" s="10">
        <f>386/6</f>
        <v>64.333333333333329</v>
      </c>
      <c r="H28" s="11">
        <f>[1]!Table1[[#This Row],[Minimum Duration per hour]]*[1]!Table1[[#This Row],[Price per hour]]</f>
        <v>386</v>
      </c>
      <c r="I28" s="11">
        <f>[1]!Table1[[#This Row],[Price]]/[1]!Table1[[#This Row],[Capacity]]</f>
        <v>15.44</v>
      </c>
      <c r="J28" s="11" t="str">
        <f>IF([1]!Table1[[#This Row],[Capacity]]&lt;=50, "small", IF([1]!Table1[[#This Row],[Capacity]]&lt;=250,"medium", "Large"))</f>
        <v>small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.5" thickBot="1" x14ac:dyDescent="0.3">
      <c r="A29" s="6" t="s">
        <v>2</v>
      </c>
      <c r="B29" s="6" t="s">
        <v>34</v>
      </c>
      <c r="C29" s="6" t="s">
        <v>37</v>
      </c>
      <c r="D29" s="6">
        <v>15</v>
      </c>
      <c r="E29" s="7" t="s">
        <v>5</v>
      </c>
      <c r="F29" s="7">
        <v>6</v>
      </c>
      <c r="G29" s="6">
        <f>193/6</f>
        <v>32.166666666666664</v>
      </c>
      <c r="H29" s="7">
        <f>[1]!Table1[[#This Row],[Minimum Duration per hour]]*[1]!Table1[[#This Row],[Price per hour]]</f>
        <v>193</v>
      </c>
      <c r="I29" s="7">
        <f>[1]!Table1[[#This Row],[Price]]/[1]!Table1[[#This Row],[Capacity]]</f>
        <v>12.866666666666667</v>
      </c>
      <c r="J29" s="7" t="str">
        <f>IF([1]!Table1[[#This Row],[Capacity]]&lt;=50, "small", IF([1]!Table1[[#This Row],[Capacity]]&lt;=250,"medium", "Large"))</f>
        <v>small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32.25" thickBot="1" x14ac:dyDescent="0.3">
      <c r="A30" s="10" t="s">
        <v>2</v>
      </c>
      <c r="B30" s="10" t="s">
        <v>38</v>
      </c>
      <c r="C30" s="10" t="s">
        <v>39</v>
      </c>
      <c r="D30" s="13">
        <v>1340</v>
      </c>
      <c r="E30" s="11" t="s">
        <v>5</v>
      </c>
      <c r="F30" s="11">
        <v>5</v>
      </c>
      <c r="G30" s="11">
        <f>5000/5</f>
        <v>1000</v>
      </c>
      <c r="H30" s="11">
        <f>[1]!Table1[[#This Row],[Minimum Duration per hour]]*[1]!Table1[[#This Row],[Price per hour]]</f>
        <v>5000</v>
      </c>
      <c r="I30" s="11">
        <f>[1]!Table1[[#This Row],[Price]]/[1]!Table1[[#This Row],[Capacity]]</f>
        <v>3.7313432835820897</v>
      </c>
      <c r="J30" s="11" t="str">
        <f>IF([1]!Table1[[#This Row],[Capacity]]&lt;=50, "small", IF([1]!Table1[[#This Row],[Capacity]]&lt;=250,"medium", "Large"))</f>
        <v>Large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thickBot="1" x14ac:dyDescent="0.3">
      <c r="A31" s="7" t="s">
        <v>2</v>
      </c>
      <c r="B31" s="7" t="s">
        <v>47</v>
      </c>
      <c r="C31" s="7" t="s">
        <v>48</v>
      </c>
      <c r="D31" s="7">
        <v>20</v>
      </c>
      <c r="E31" s="7" t="s">
        <v>5</v>
      </c>
      <c r="F31" s="7">
        <v>1</v>
      </c>
      <c r="G31" s="7">
        <v>30</v>
      </c>
      <c r="H31" s="7">
        <f>[1]!Table1[[#This Row],[Minimum Duration per hour]]*[1]!Table1[[#This Row],[Price per hour]]</f>
        <v>30</v>
      </c>
      <c r="I31" s="7">
        <f>[1]!Table1[[#This Row],[Price]]/[1]!Table1[[#This Row],[Capacity]]</f>
        <v>1.5</v>
      </c>
      <c r="J31" s="7" t="str">
        <f>IF([1]!Table1[[#This Row],[Capacity]]&lt;=50, "small", IF([1]!Table1[[#This Row],[Capacity]]&lt;=250,"medium", "Large"))</f>
        <v>small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thickBot="1" x14ac:dyDescent="0.3">
      <c r="A32" s="11" t="s">
        <v>49</v>
      </c>
      <c r="B32" s="11" t="s">
        <v>50</v>
      </c>
      <c r="C32" s="11" t="s">
        <v>51</v>
      </c>
      <c r="D32" s="11">
        <v>650</v>
      </c>
      <c r="E32" s="11" t="s">
        <v>5</v>
      </c>
      <c r="F32" s="11">
        <v>7</v>
      </c>
      <c r="G32" s="11">
        <f>2500/7</f>
        <v>357.14285714285717</v>
      </c>
      <c r="H32" s="11">
        <f>[1]!Table1[[#This Row],[Minimum Duration per hour]]*[1]!Table1[[#This Row],[Price per hour]]</f>
        <v>2500</v>
      </c>
      <c r="I32" s="11">
        <f>[1]!Table1[[#This Row],[Price]]/[1]!Table1[[#This Row],[Capacity]]</f>
        <v>3.8461538461538463</v>
      </c>
      <c r="J32" s="11" t="str">
        <f>IF([1]!Table1[[#This Row],[Capacity]]&lt;=50, "small", IF([1]!Table1[[#This Row],[Capacity]]&lt;=250,"medium", "Large"))</f>
        <v>Large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thickBot="1" x14ac:dyDescent="0.3">
      <c r="A33" s="7" t="s">
        <v>49</v>
      </c>
      <c r="B33" s="7" t="s">
        <v>50</v>
      </c>
      <c r="C33" s="14" t="s">
        <v>54</v>
      </c>
      <c r="D33" s="14">
        <v>120</v>
      </c>
      <c r="E33" s="14" t="s">
        <v>5</v>
      </c>
      <c r="F33" s="14">
        <v>1</v>
      </c>
      <c r="G33" s="14">
        <v>100</v>
      </c>
      <c r="H33" s="7">
        <f>[1]!Table1[[#This Row],[Minimum Duration per hour]]*[1]!Table1[[#This Row],[Price per hour]]</f>
        <v>100</v>
      </c>
      <c r="I33" s="7">
        <f>[1]!Table1[[#This Row],[Price]]/[1]!Table1[[#This Row],[Capacity]]</f>
        <v>0.83333333333333337</v>
      </c>
      <c r="J33" s="7" t="str">
        <f>IF([1]!Table1[[#This Row],[Capacity]]&lt;=50, "small", IF([1]!Table1[[#This Row],[Capacity]]&lt;=250,"medium", "Large"))</f>
        <v>medium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thickBot="1" x14ac:dyDescent="0.3">
      <c r="A34" s="11" t="s">
        <v>49</v>
      </c>
      <c r="B34" s="11" t="s">
        <v>50</v>
      </c>
      <c r="C34" s="15" t="s">
        <v>55</v>
      </c>
      <c r="D34" s="15">
        <v>600</v>
      </c>
      <c r="E34" s="15" t="s">
        <v>5</v>
      </c>
      <c r="F34" s="15">
        <v>12</v>
      </c>
      <c r="G34" s="15">
        <f>1000/12</f>
        <v>83.333333333333329</v>
      </c>
      <c r="H34" s="11">
        <f>[1]!Table1[[#This Row],[Minimum Duration per hour]]*[1]!Table1[[#This Row],[Price per hour]]</f>
        <v>1000</v>
      </c>
      <c r="I34" s="11">
        <f>[1]!Table1[[#This Row],[Price]]/[1]!Table1[[#This Row],[Capacity]]</f>
        <v>1.6666666666666667</v>
      </c>
      <c r="J34" s="11" t="str">
        <f>IF([1]!Table1[[#This Row],[Capacity]]&lt;=50, "small", IF([1]!Table1[[#This Row],[Capacity]]&lt;=250,"medium", "Large"))</f>
        <v>Large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thickBot="1" x14ac:dyDescent="0.3">
      <c r="A35" s="12" t="s">
        <v>49</v>
      </c>
      <c r="B35" s="14" t="s">
        <v>56</v>
      </c>
      <c r="C35" s="14" t="s">
        <v>57</v>
      </c>
      <c r="D35" s="14">
        <v>250</v>
      </c>
      <c r="E35" s="14" t="s">
        <v>5</v>
      </c>
      <c r="F35" s="14">
        <v>12</v>
      </c>
      <c r="G35" s="14">
        <f>500/12</f>
        <v>41.666666666666664</v>
      </c>
      <c r="H35" s="7">
        <f>[1]!Table1[[#This Row],[Minimum Duration per hour]]*[1]!Table1[[#This Row],[Price per hour]]</f>
        <v>500</v>
      </c>
      <c r="I35" s="7">
        <f>[1]!Table1[[#This Row],[Price]]/[1]!Table1[[#This Row],[Capacity]]</f>
        <v>2</v>
      </c>
      <c r="J35" s="7" t="str">
        <f>IF([1]!Table1[[#This Row],[Capacity]]&lt;=50, "small", IF([1]!Table1[[#This Row],[Capacity]]&lt;=250,"medium", "Large"))</f>
        <v>medium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thickBot="1" x14ac:dyDescent="0.3">
      <c r="A36" s="11" t="s">
        <v>49</v>
      </c>
      <c r="B36" s="11" t="s">
        <v>52</v>
      </c>
      <c r="C36" s="11" t="s">
        <v>53</v>
      </c>
      <c r="D36" s="11">
        <v>500</v>
      </c>
      <c r="E36" s="11" t="s">
        <v>5</v>
      </c>
      <c r="F36" s="11">
        <v>1</v>
      </c>
      <c r="G36" s="11">
        <v>75</v>
      </c>
      <c r="H36" s="11">
        <f>[1]!Table1[[#This Row],[Minimum Duration per hour]]*[1]!Table1[[#This Row],[Price per hour]]</f>
        <v>75</v>
      </c>
      <c r="I36" s="11">
        <f>[1]!Table1[[#This Row],[Price]]/[1]!Table1[[#This Row],[Capacity]]</f>
        <v>0.15</v>
      </c>
      <c r="J36" s="11" t="str">
        <f>IF([1]!Table1[[#This Row],[Capacity]]&lt;=50, "small", IF([1]!Table1[[#This Row],[Capacity]]&lt;=250,"medium", "Large"))</f>
        <v>Large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thickBot="1" x14ac:dyDescent="0.3">
      <c r="A37" s="7" t="s">
        <v>2</v>
      </c>
      <c r="B37" s="7" t="s">
        <v>58</v>
      </c>
      <c r="C37" s="7" t="s">
        <v>59</v>
      </c>
      <c r="D37" s="7">
        <v>110</v>
      </c>
      <c r="E37" s="7" t="s">
        <v>5</v>
      </c>
      <c r="F37" s="7">
        <v>1</v>
      </c>
      <c r="G37" s="7">
        <v>38</v>
      </c>
      <c r="H37" s="7">
        <f>[1]!Table1[[#This Row],[Minimum Duration per hour]]*[1]!Table1[[#This Row],[Price per hour]]</f>
        <v>38</v>
      </c>
      <c r="I37" s="7">
        <f>[1]!Table1[[#This Row],[Price]]/[1]!Table1[[#This Row],[Capacity]]</f>
        <v>0.34545454545454546</v>
      </c>
      <c r="J37" s="7" t="str">
        <f>IF([1]!Table1[[#This Row],[Capacity]]&lt;=50, "small", IF([1]!Table1[[#This Row],[Capacity]]&lt;=250,"medium", "Large"))</f>
        <v>medium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thickBot="1" x14ac:dyDescent="0.3">
      <c r="A38" s="11" t="s">
        <v>49</v>
      </c>
      <c r="B38" s="11" t="s">
        <v>60</v>
      </c>
      <c r="C38" s="11" t="s">
        <v>61</v>
      </c>
      <c r="D38" s="11">
        <v>500</v>
      </c>
      <c r="E38" s="11" t="s">
        <v>5</v>
      </c>
      <c r="F38" s="11">
        <v>2</v>
      </c>
      <c r="G38" s="11">
        <f>1440/2</f>
        <v>720</v>
      </c>
      <c r="H38" s="11">
        <f>[1]!Table1[[#This Row],[Minimum Duration per hour]]*[1]!Table1[[#This Row],[Price per hour]]</f>
        <v>1440</v>
      </c>
      <c r="I38" s="11">
        <f>[1]!Table1[[#This Row],[Price]]/[1]!Table1[[#This Row],[Capacity]]</f>
        <v>2.88</v>
      </c>
      <c r="J38" s="11" t="str">
        <f>IF([1]!Table1[[#This Row],[Capacity]]&lt;=50, "small", IF([1]!Table1[[#This Row],[Capacity]]&lt;=250,"medium", "Large"))</f>
        <v>Large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.5" thickBot="1" x14ac:dyDescent="0.3">
      <c r="A39" s="7" t="s">
        <v>49</v>
      </c>
      <c r="B39" s="7" t="s">
        <v>60</v>
      </c>
      <c r="C39" s="6" t="s">
        <v>62</v>
      </c>
      <c r="D39" s="6">
        <v>1000</v>
      </c>
      <c r="E39" s="7" t="s">
        <v>5</v>
      </c>
      <c r="F39" s="7">
        <v>5</v>
      </c>
      <c r="G39" s="6">
        <f>2400/5</f>
        <v>480</v>
      </c>
      <c r="H39" s="6">
        <f>[1]!Table1[[#This Row],[Minimum Duration per hour]]*[1]!Table1[[#This Row],[Price per hour]]</f>
        <v>2400</v>
      </c>
      <c r="I39" s="6">
        <f>[1]!Table1[[#This Row],[Price]]/[1]!Table1[[#This Row],[Capacity]]</f>
        <v>2.4</v>
      </c>
      <c r="J39" s="6" t="str">
        <f>IF([1]!Table1[[#This Row],[Capacity]]&lt;=50, "small", IF([1]!Table1[[#This Row],[Capacity]]&lt;=250,"medium", "Large"))</f>
        <v>Large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thickBot="1" x14ac:dyDescent="0.3">
      <c r="A40" s="11" t="s">
        <v>49</v>
      </c>
      <c r="B40" s="11" t="s">
        <v>60</v>
      </c>
      <c r="C40" s="11" t="s">
        <v>63</v>
      </c>
      <c r="D40" s="11">
        <v>300</v>
      </c>
      <c r="E40" s="11" t="s">
        <v>5</v>
      </c>
      <c r="F40" s="11">
        <v>2</v>
      </c>
      <c r="G40" s="11">
        <f>720/2</f>
        <v>360</v>
      </c>
      <c r="H40" s="11">
        <f>[1]!Table1[[#This Row],[Minimum Duration per hour]]*[1]!Table1[[#This Row],[Price per hour]]</f>
        <v>720</v>
      </c>
      <c r="I40" s="11">
        <f>[1]!Table1[[#This Row],[Price]]/[1]!Table1[[#This Row],[Capacity]]</f>
        <v>2.4</v>
      </c>
      <c r="J40" s="11" t="str">
        <f>IF([1]!Table1[[#This Row],[Capacity]]&lt;=50, "small", IF([1]!Table1[[#This Row],[Capacity]]&lt;=250,"medium", "Large"))</f>
        <v>Large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.5" thickBot="1" x14ac:dyDescent="0.3">
      <c r="A41" s="6" t="s">
        <v>2</v>
      </c>
      <c r="B41" s="7" t="s">
        <v>60</v>
      </c>
      <c r="C41" s="6" t="s">
        <v>64</v>
      </c>
      <c r="D41" s="6">
        <v>150</v>
      </c>
      <c r="E41" s="7" t="s">
        <v>5</v>
      </c>
      <c r="F41" s="7">
        <v>2</v>
      </c>
      <c r="G41" s="7">
        <f>240/2</f>
        <v>120</v>
      </c>
      <c r="H41" s="7">
        <f>[1]!Table1[[#This Row],[Minimum Duration per hour]]*[1]!Table1[[#This Row],[Price per hour]]</f>
        <v>240</v>
      </c>
      <c r="I41" s="7">
        <f>[1]!Table1[[#This Row],[Price]]/[1]!Table1[[#This Row],[Capacity]]</f>
        <v>1.6</v>
      </c>
      <c r="J41" s="7" t="str">
        <f>IF([1]!Table1[[#This Row],[Capacity]]&lt;=50, "small", IF([1]!Table1[[#This Row],[Capacity]]&lt;=250,"medium", "Large"))</f>
        <v>medium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thickBot="1" x14ac:dyDescent="0.3">
      <c r="A42" s="11" t="s">
        <v>49</v>
      </c>
      <c r="B42" s="11" t="s">
        <v>65</v>
      </c>
      <c r="C42" s="11" t="s">
        <v>66</v>
      </c>
      <c r="D42" s="11">
        <v>500</v>
      </c>
      <c r="E42" s="11" t="s">
        <v>5</v>
      </c>
      <c r="F42" s="11">
        <v>1</v>
      </c>
      <c r="G42" s="11">
        <v>125</v>
      </c>
      <c r="H42" s="11">
        <f>[1]!Table1[[#This Row],[Minimum Duration per hour]]*[1]!Table1[[#This Row],[Price per hour]]</f>
        <v>125</v>
      </c>
      <c r="I42" s="11">
        <f>[1]!Table1[[#This Row],[Price]]/[1]!Table1[[#This Row],[Capacity]]</f>
        <v>0.25</v>
      </c>
      <c r="J42" s="11" t="str">
        <f>IF([1]!Table1[[#This Row],[Capacity]]&lt;=50, "small", IF([1]!Table1[[#This Row],[Capacity]]&lt;=250,"medium", "Large"))</f>
        <v>Large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.5" thickBot="1" x14ac:dyDescent="0.3">
      <c r="A43" s="1"/>
      <c r="B43" s="2"/>
      <c r="C43" s="2"/>
      <c r="D43" s="3"/>
      <c r="E43" s="1"/>
      <c r="F43" s="1"/>
      <c r="G43" s="4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.5" thickBot="1" x14ac:dyDescent="0.3">
      <c r="A44" s="1"/>
      <c r="B44" s="2"/>
      <c r="C44" s="2"/>
      <c r="D44" s="3"/>
      <c r="E44" s="1"/>
      <c r="F44" s="1"/>
      <c r="G44" s="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.5" thickBot="1" x14ac:dyDescent="0.3">
      <c r="A45" s="1"/>
      <c r="B45" s="1"/>
      <c r="C45" s="2"/>
      <c r="D45" s="3"/>
      <c r="E45" s="1"/>
      <c r="F45" s="1"/>
      <c r="G45" s="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.5" thickBot="1" x14ac:dyDescent="0.3">
      <c r="A46" s="1"/>
      <c r="B46" s="1"/>
      <c r="C46" s="2"/>
      <c r="D46" s="3"/>
      <c r="E46" s="1"/>
      <c r="F46" s="1"/>
      <c r="G46" s="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.5" thickBot="1" x14ac:dyDescent="0.3">
      <c r="A47" s="2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.5" thickBot="1" x14ac:dyDescent="0.3">
      <c r="A48" s="2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.5" thickBot="1" x14ac:dyDescent="0.3">
      <c r="A49" s="2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.5" thickBot="1" x14ac:dyDescent="0.3">
      <c r="A50" s="2"/>
      <c r="B50" s="2"/>
      <c r="C50" s="2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6.5" thickBot="1" x14ac:dyDescent="0.3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.5" thickBot="1" x14ac:dyDescent="0.3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6.5" thickBot="1" x14ac:dyDescent="0.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.5" thickBot="1" x14ac:dyDescent="0.3">
      <c r="A55" s="1"/>
      <c r="B55" s="1"/>
      <c r="C55" s="2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.5" thickBot="1" x14ac:dyDescent="0.3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.5" thickBot="1" x14ac:dyDescent="0.3">
      <c r="A58" s="1"/>
      <c r="B58" s="1"/>
      <c r="C58" s="2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.5" thickBot="1" x14ac:dyDescent="0.3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6.5" thickBot="1" x14ac:dyDescent="0.3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6.5" thickBot="1" x14ac:dyDescent="0.3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.5" thickBot="1" x14ac:dyDescent="0.3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.5" thickBot="1" x14ac:dyDescent="0.3">
      <c r="A64" s="1"/>
      <c r="B64" s="1"/>
      <c r="C64" s="2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.5" thickBot="1" x14ac:dyDescent="0.3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.5" thickBot="1" x14ac:dyDescent="0.3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.5" thickBot="1" x14ac:dyDescent="0.3">
      <c r="A68" s="1"/>
      <c r="B68" s="1"/>
      <c r="C68" s="2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.5" thickBot="1" x14ac:dyDescent="0.3">
      <c r="A70" s="1"/>
      <c r="B70" s="1"/>
      <c r="C70" s="2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6.5" thickBot="1" x14ac:dyDescent="0.3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.5" thickBot="1" x14ac:dyDescent="0.3">
      <c r="A73" s="1"/>
      <c r="B73" s="1"/>
      <c r="C73" s="2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.5" thickBot="1" x14ac:dyDescent="0.3">
      <c r="A75" s="2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.5" thickBot="1" x14ac:dyDescent="0.3">
      <c r="A77" s="2"/>
      <c r="B77" s="2"/>
      <c r="C77" s="3"/>
      <c r="D77" s="3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.5" thickBot="1" x14ac:dyDescent="0.3">
      <c r="A78" s="2"/>
      <c r="B78" s="1"/>
      <c r="C78" s="3"/>
      <c r="D78" s="3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.5" thickBot="1" x14ac:dyDescent="0.3">
      <c r="A80" s="2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6.5" thickBot="1" x14ac:dyDescent="0.3">
      <c r="A81" s="2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.5" thickBot="1" x14ac:dyDescent="0.3">
      <c r="A82" s="2"/>
      <c r="B82" s="2"/>
      <c r="C82" s="3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.5" thickBot="1" x14ac:dyDescent="0.3">
      <c r="A83" s="1"/>
      <c r="B83" s="1"/>
      <c r="C83" s="2"/>
      <c r="D83" s="3"/>
      <c r="E83" s="2"/>
      <c r="F83" s="1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.5" thickBot="1" x14ac:dyDescent="0.3">
      <c r="A88" s="2"/>
      <c r="B88" s="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6.5" thickBot="1" x14ac:dyDescent="0.3">
      <c r="A89" s="2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Kioko</dc:creator>
  <cp:lastModifiedBy>Daniel Tamale</cp:lastModifiedBy>
  <cp:lastPrinted>2026-01-15T23:07:39Z</cp:lastPrinted>
  <dcterms:created xsi:type="dcterms:W3CDTF">2026-01-13T14:12:16Z</dcterms:created>
  <dcterms:modified xsi:type="dcterms:W3CDTF">2026-01-18T17:49:55Z</dcterms:modified>
</cp:coreProperties>
</file>